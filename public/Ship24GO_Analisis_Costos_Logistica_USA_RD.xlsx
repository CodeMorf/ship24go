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parativa_Costos_y_Margenes" sheetId="1" state="visible" r:id="rId1"/>
    <sheet xmlns:r="http://schemas.openxmlformats.org/officeDocument/2006/relationships" name="Escala_Consolidacion_Lotes" sheetId="2" state="visible" r:id="rId2"/>
    <sheet xmlns:r="http://schemas.openxmlformats.org/officeDocument/2006/relationships" name="Simulador_Dinamico" sheetId="3" state="visible" r:id="rId3"/>
    <sheet xmlns:r="http://schemas.openxmlformats.org/officeDocument/2006/relationships" name="Precios_y_Comisiones_Poin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0.0"/>
    <numFmt numFmtId="165" formatCode="$#,##0.00"/>
    <numFmt numFmtId="166" formatCode="&quot;RD$ &quot;#,##0.00"/>
    <numFmt numFmtId="167" formatCode="0.0%"/>
    <numFmt numFmtId="168" formatCode="RD$ #,##0.00"/>
  </numFmts>
  <fonts count="11">
    <font>
      <name val="Calibri"/>
      <family val="2"/>
      <color theme="1"/>
      <sz val="11"/>
      <scheme val="minor"/>
    </font>
    <font>
      <name val="Segoe UI"/>
      <b val="1"/>
      <color rgb="00FFFFFF"/>
      <sz val="15"/>
    </font>
    <font>
      <name val="Segoe UI"/>
      <i val="1"/>
      <color rgb="00E2E8F0"/>
      <sz val="10"/>
    </font>
    <font>
      <name val="Segoe UI"/>
      <b val="1"/>
      <color rgb="0064748B"/>
      <sz val="8"/>
    </font>
    <font>
      <name val="Segoe UI"/>
      <b val="1"/>
      <color rgb="000F172A"/>
      <sz val="14"/>
    </font>
    <font>
      <name val="Segoe UI"/>
      <b val="1"/>
      <color rgb="001E293B"/>
      <sz val="11"/>
    </font>
    <font>
      <name val="Segoe UI"/>
      <b val="1"/>
      <color rgb="00FFFFFF"/>
      <sz val="9"/>
    </font>
    <font>
      <name val="Segoe UI"/>
      <b val="1"/>
      <color rgb="000F172A"/>
      <sz val="9"/>
    </font>
    <font>
      <name val="Segoe UI"/>
      <color rgb="001E293B"/>
      <sz val="9"/>
    </font>
    <font>
      <name val="Segoe UI"/>
      <b val="1"/>
      <color rgb="000F172A"/>
      <sz val="10"/>
    </font>
    <font>
      <name val="Segoe UI"/>
      <b val="1"/>
      <color rgb="00FFFFFF"/>
      <sz val="14"/>
    </font>
  </fonts>
  <fills count="23">
    <fill>
      <patternFill/>
    </fill>
    <fill>
      <patternFill patternType="gray125"/>
    </fill>
    <fill>
      <patternFill patternType="solid">
        <fgColor rgb="001E3A8A"/>
        <bgColor rgb="001E3A8A"/>
      </patternFill>
    </fill>
    <fill>
      <patternFill patternType="solid">
        <fgColor rgb="00E2E8F0"/>
        <bgColor rgb="00E2E8F0"/>
      </patternFill>
    </fill>
    <fill>
      <patternFill patternType="solid">
        <fgColor rgb="00F8FAFC"/>
        <bgColor rgb="00F8FAFC"/>
      </patternFill>
    </fill>
    <fill>
      <patternFill patternType="solid">
        <fgColor rgb="00FEF9C3"/>
        <bgColor rgb="00FEF9C3"/>
      </patternFill>
    </fill>
    <fill>
      <patternFill patternType="solid">
        <fgColor rgb="00991B1B"/>
        <bgColor rgb="00991B1B"/>
      </patternFill>
    </fill>
    <fill>
      <patternFill patternType="solid">
        <fgColor rgb="00065F46"/>
        <bgColor rgb="00065F46"/>
      </patternFill>
    </fill>
    <fill>
      <patternFill patternType="solid">
        <fgColor rgb="000D9488"/>
        <bgColor rgb="000D9488"/>
      </patternFill>
    </fill>
    <fill>
      <patternFill patternType="solid">
        <fgColor rgb="0015803D"/>
        <bgColor rgb="0015803D"/>
      </patternFill>
    </fill>
    <fill>
      <patternFill patternType="solid">
        <fgColor rgb="002563EB"/>
        <bgColor rgb="002563EB"/>
      </patternFill>
    </fill>
    <fill>
      <patternFill patternType="solid">
        <fgColor rgb="00FFFFFF"/>
        <bgColor rgb="00FFFFFF"/>
      </patternFill>
    </fill>
    <fill>
      <patternFill patternType="solid">
        <fgColor rgb="00DCFCE7"/>
        <bgColor rgb="00DCFCE7"/>
      </patternFill>
    </fill>
    <fill>
      <patternFill patternType="solid">
        <fgColor rgb="001E3A8A"/>
      </patternFill>
    </fill>
    <fill>
      <patternFill patternType="solid">
        <fgColor rgb="002563EB"/>
      </patternFill>
    </fill>
    <fill>
      <patternFill patternType="solid">
        <fgColor rgb="00D97706"/>
      </patternFill>
    </fill>
    <fill>
      <patternFill patternType="solid">
        <fgColor rgb="00991B1B"/>
      </patternFill>
    </fill>
    <fill>
      <patternFill patternType="solid">
        <fgColor rgb="0015803D"/>
      </patternFill>
    </fill>
    <fill>
      <patternFill patternType="solid">
        <fgColor rgb="00F8FAFC"/>
      </patternFill>
    </fill>
    <fill>
      <patternFill patternType="solid">
        <fgColor rgb="00DCFCE7"/>
      </patternFill>
    </fill>
    <fill>
      <patternFill patternType="solid">
        <fgColor rgb="00FEF9C3"/>
      </patternFill>
    </fill>
    <fill>
      <patternFill patternType="solid">
        <fgColor rgb="00FFFFFF"/>
      </patternFill>
    </fill>
    <fill>
      <patternFill patternType="solid">
        <fgColor rgb="00E2E8F0"/>
      </patternFill>
    </fill>
  </fills>
  <borders count="4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medium">
        <color rgb="001E3A8A"/>
      </bottom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  <border>
      <left style="thin">
        <color rgb="00CBD5E1"/>
      </left>
      <right style="thin">
        <color rgb="00CBD5E1"/>
      </right>
      <top style="thin">
        <color rgb="00CBD5E1"/>
      </top>
      <bottom style="double">
        <color rgb="000F172A"/>
      </bottom>
    </border>
  </borders>
  <cellStyleXfs count="1">
    <xf numFmtId="0" fontId="0" fillId="0" borderId="0"/>
  </cellStyleXfs>
  <cellXfs count="7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2" borderId="0" applyAlignment="1" pivotButton="0" quotePrefix="0" xfId="0">
      <alignment horizontal="center" vertical="center" wrapText="1"/>
    </xf>
    <xf numFmtId="0" fontId="3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5" fillId="0" borderId="0" pivotButton="0" quotePrefix="0" xfId="0"/>
    <xf numFmtId="0" fontId="6" fillId="2" borderId="0" applyAlignment="1" pivotButton="0" quotePrefix="0" xfId="0">
      <alignment horizontal="center" vertical="center" wrapText="1"/>
    </xf>
    <xf numFmtId="0" fontId="6" fillId="6" borderId="0" applyAlignment="1" pivotButton="0" quotePrefix="0" xfId="0">
      <alignment horizontal="center" vertical="center" wrapText="1"/>
    </xf>
    <xf numFmtId="0" fontId="6" fillId="7" borderId="0" applyAlignment="1" pivotButton="0" quotePrefix="0" xfId="0">
      <alignment horizontal="center" vertical="center" wrapText="1"/>
    </xf>
    <xf numFmtId="0" fontId="6" fillId="8" borderId="0" applyAlignment="1" pivotButton="0" quotePrefix="0" xfId="0">
      <alignment horizontal="center" vertical="center" wrapText="1"/>
    </xf>
    <xf numFmtId="0" fontId="6" fillId="9" borderId="0" applyAlignment="1" pivotButton="0" quotePrefix="0" xfId="0">
      <alignment horizontal="center" vertical="center" wrapText="1"/>
    </xf>
    <xf numFmtId="0" fontId="6" fillId="10" borderId="1" applyAlignment="1" pivotButton="0" quotePrefix="0" xfId="0">
      <alignment horizontal="center" vertical="center" wrapText="1"/>
    </xf>
    <xf numFmtId="0" fontId="6" fillId="6" borderId="1" applyAlignment="1" pivotButton="0" quotePrefix="0" xfId="0">
      <alignment horizontal="center" vertical="center" wrapText="1"/>
    </xf>
    <xf numFmtId="0" fontId="6" fillId="7" borderId="1" applyAlignment="1" pivotButton="0" quotePrefix="0" xfId="0">
      <alignment horizontal="center" vertical="center" wrapText="1"/>
    </xf>
    <xf numFmtId="0" fontId="6" fillId="8" borderId="1" applyAlignment="1" pivotButton="0" quotePrefix="0" xfId="0">
      <alignment horizontal="center" vertical="center" wrapText="1"/>
    </xf>
    <xf numFmtId="0" fontId="6" fillId="9" borderId="1" applyAlignment="1" pivotButton="0" quotePrefix="0" xfId="0">
      <alignment horizontal="center" vertical="center" wrapText="1"/>
    </xf>
    <xf numFmtId="0" fontId="7" fillId="11" borderId="2" applyAlignment="1" pivotButton="0" quotePrefix="0" xfId="0">
      <alignment horizontal="left" vertical="center"/>
    </xf>
    <xf numFmtId="0" fontId="8" fillId="11" borderId="2" applyAlignment="1" pivotButton="0" quotePrefix="0" xfId="0">
      <alignment horizontal="center" vertical="center" wrapText="1"/>
    </xf>
    <xf numFmtId="164" fontId="8" fillId="11" borderId="2" applyAlignment="1" pivotButton="0" quotePrefix="0" xfId="0">
      <alignment horizontal="center" vertical="center" wrapText="1"/>
    </xf>
    <xf numFmtId="165" fontId="8" fillId="11" borderId="2" applyAlignment="1" pivotButton="0" quotePrefix="0" xfId="0">
      <alignment horizontal="right" vertical="center"/>
    </xf>
    <xf numFmtId="166" fontId="8" fillId="11" borderId="2" applyAlignment="1" pivotButton="0" quotePrefix="0" xfId="0">
      <alignment horizontal="right" vertical="center"/>
    </xf>
    <xf numFmtId="165" fontId="7" fillId="11" borderId="2" applyAlignment="1" pivotButton="0" quotePrefix="0" xfId="0">
      <alignment horizontal="right" vertical="center"/>
    </xf>
    <xf numFmtId="165" fontId="7" fillId="12" borderId="2" applyAlignment="1" pivotButton="0" quotePrefix="0" xfId="0">
      <alignment horizontal="right" vertical="center"/>
    </xf>
    <xf numFmtId="167" fontId="8" fillId="11" borderId="2" applyAlignment="1" pivotButton="0" quotePrefix="0" xfId="0">
      <alignment horizontal="center" vertical="center" wrapText="1"/>
    </xf>
    <xf numFmtId="167" fontId="7" fillId="11" borderId="2" applyAlignment="1" pivotButton="0" quotePrefix="0" xfId="0">
      <alignment horizontal="center" vertical="center" wrapText="1"/>
    </xf>
    <xf numFmtId="0" fontId="7" fillId="4" borderId="2" applyAlignment="1" pivotButton="0" quotePrefix="0" xfId="0">
      <alignment horizontal="left" vertical="center"/>
    </xf>
    <xf numFmtId="0" fontId="8" fillId="4" borderId="2" applyAlignment="1" pivotButton="0" quotePrefix="0" xfId="0">
      <alignment horizontal="center" vertical="center" wrapText="1"/>
    </xf>
    <xf numFmtId="164" fontId="8" fillId="4" borderId="2" applyAlignment="1" pivotButton="0" quotePrefix="0" xfId="0">
      <alignment horizontal="center" vertical="center" wrapText="1"/>
    </xf>
    <xf numFmtId="165" fontId="8" fillId="4" borderId="2" applyAlignment="1" pivotButton="0" quotePrefix="0" xfId="0">
      <alignment horizontal="right" vertical="center"/>
    </xf>
    <xf numFmtId="166" fontId="8" fillId="4" borderId="2" applyAlignment="1" pivotButton="0" quotePrefix="0" xfId="0">
      <alignment horizontal="right" vertical="center"/>
    </xf>
    <xf numFmtId="165" fontId="7" fillId="4" borderId="2" applyAlignment="1" pivotButton="0" quotePrefix="0" xfId="0">
      <alignment horizontal="right" vertical="center"/>
    </xf>
    <xf numFmtId="167" fontId="8" fillId="4" borderId="2" applyAlignment="1" pivotButton="0" quotePrefix="0" xfId="0">
      <alignment horizontal="center" vertical="center" wrapText="1"/>
    </xf>
    <xf numFmtId="167" fontId="7" fillId="4" borderId="2" applyAlignment="1" pivotButton="0" quotePrefix="0" xfId="0">
      <alignment horizontal="center" vertical="center" wrapText="1"/>
    </xf>
    <xf numFmtId="0" fontId="9" fillId="3" borderId="3" applyAlignment="1" pivotButton="0" quotePrefix="0" xfId="0">
      <alignment horizontal="left" vertical="center"/>
    </xf>
    <xf numFmtId="0" fontId="9" fillId="3" borderId="3" applyAlignment="1" pivotButton="0" quotePrefix="0" xfId="0">
      <alignment horizontal="center" vertical="center" wrapText="1"/>
    </xf>
    <xf numFmtId="165" fontId="9" fillId="3" borderId="3" applyAlignment="1" pivotButton="0" quotePrefix="0" xfId="0">
      <alignment horizontal="right" vertical="center"/>
    </xf>
    <xf numFmtId="167" fontId="9" fillId="3" borderId="3" applyAlignment="1" pivotButton="0" quotePrefix="0" xfId="0">
      <alignment horizontal="center" vertical="center" wrapText="1"/>
    </xf>
    <xf numFmtId="0" fontId="6" fillId="2" borderId="1" applyAlignment="1" pivotButton="0" quotePrefix="0" xfId="0">
      <alignment horizontal="center" vertical="center" wrapText="1"/>
    </xf>
    <xf numFmtId="0" fontId="7" fillId="3" borderId="2" applyAlignment="1" pivotButton="0" quotePrefix="0" xfId="0">
      <alignment horizontal="left" vertical="center"/>
    </xf>
    <xf numFmtId="166" fontId="7" fillId="5" borderId="2" applyAlignment="1" pivotButton="0" quotePrefix="0" xfId="0">
      <alignment horizontal="right" vertical="center"/>
    </xf>
    <xf numFmtId="165" fontId="7" fillId="3" borderId="2" applyAlignment="1" pivotButton="0" quotePrefix="0" xfId="0">
      <alignment horizontal="right" vertical="center"/>
    </xf>
    <xf numFmtId="0" fontId="8" fillId="4" borderId="2" applyAlignment="1" pivotButton="0" quotePrefix="0" xfId="0">
      <alignment horizontal="left" vertical="center"/>
    </xf>
    <xf numFmtId="164" fontId="7" fillId="5" borderId="2" applyAlignment="1" pivotButton="0" quotePrefix="0" xfId="0">
      <alignment horizontal="right" vertical="center"/>
    </xf>
    <xf numFmtId="165" fontId="7" fillId="5" borderId="2" applyAlignment="1" pivotButton="0" quotePrefix="0" xfId="0">
      <alignment horizontal="right" vertical="center"/>
    </xf>
    <xf numFmtId="166" fontId="7" fillId="3" borderId="2" applyAlignment="1" pivotButton="0" quotePrefix="0" xfId="0">
      <alignment horizontal="right" vertical="center"/>
    </xf>
    <xf numFmtId="0" fontId="7" fillId="12" borderId="2" applyAlignment="1" pivotButton="0" quotePrefix="0" xfId="0">
      <alignment horizontal="left" vertical="center"/>
    </xf>
    <xf numFmtId="166" fontId="7" fillId="12" borderId="2" applyAlignment="1" pivotButton="0" quotePrefix="0" xfId="0">
      <alignment horizontal="right" vertical="center"/>
    </xf>
    <xf numFmtId="167" fontId="7" fillId="3" borderId="2" applyAlignment="1" pivotButton="0" quotePrefix="0" xfId="0">
      <alignment horizontal="right" vertical="center"/>
    </xf>
    <xf numFmtId="0" fontId="10" fillId="13" borderId="0" applyAlignment="1" pivotButton="0" quotePrefix="0" xfId="0">
      <alignment horizontal="center" vertical="center" wrapText="1"/>
    </xf>
    <xf numFmtId="0" fontId="2" fillId="13" borderId="0" applyAlignment="1" pivotButton="0" quotePrefix="0" xfId="0">
      <alignment horizontal="center" vertical="center" wrapText="1"/>
    </xf>
    <xf numFmtId="0" fontId="6" fillId="14" borderId="1" applyAlignment="1" pivotButton="0" quotePrefix="0" xfId="0">
      <alignment horizontal="center" vertical="center" wrapText="1"/>
    </xf>
    <xf numFmtId="0" fontId="6" fillId="15" borderId="1" applyAlignment="1" pivotButton="0" quotePrefix="0" xfId="0">
      <alignment horizontal="center" vertical="center" wrapText="1"/>
    </xf>
    <xf numFmtId="0" fontId="6" fillId="16" borderId="1" applyAlignment="1" pivotButton="0" quotePrefix="0" xfId="0">
      <alignment horizontal="center" vertical="center" wrapText="1"/>
    </xf>
    <xf numFmtId="0" fontId="6" fillId="17" borderId="1" applyAlignment="1" pivotButton="0" quotePrefix="0" xfId="0">
      <alignment horizontal="center" vertical="center" wrapText="1"/>
    </xf>
    <xf numFmtId="0" fontId="7" fillId="18" borderId="2" applyAlignment="1" pivotButton="0" quotePrefix="0" xfId="0">
      <alignment horizontal="left" vertical="center"/>
    </xf>
    <xf numFmtId="164" fontId="8" fillId="18" borderId="2" applyAlignment="1" pivotButton="0" quotePrefix="0" xfId="0">
      <alignment horizontal="center" vertical="center" wrapText="1"/>
    </xf>
    <xf numFmtId="165" fontId="8" fillId="18" borderId="2" applyAlignment="1" pivotButton="0" quotePrefix="0" xfId="0">
      <alignment horizontal="right" vertical="center"/>
    </xf>
    <xf numFmtId="165" fontId="7" fillId="18" borderId="2" applyAlignment="1" pivotButton="0" quotePrefix="0" xfId="0">
      <alignment horizontal="right" vertical="center"/>
    </xf>
    <xf numFmtId="168" fontId="8" fillId="18" borderId="2" applyAlignment="1" pivotButton="0" quotePrefix="0" xfId="0">
      <alignment horizontal="right" vertical="center"/>
    </xf>
    <xf numFmtId="165" fontId="7" fillId="19" borderId="2" applyAlignment="1" pivotButton="0" quotePrefix="0" xfId="0">
      <alignment horizontal="right" vertical="center"/>
    </xf>
    <xf numFmtId="167" fontId="7" fillId="18" borderId="2" applyAlignment="1" pivotButton="0" quotePrefix="0" xfId="0">
      <alignment horizontal="center" vertical="center" wrapText="1"/>
    </xf>
    <xf numFmtId="165" fontId="7" fillId="20" borderId="2" applyAlignment="1" pivotButton="0" quotePrefix="0" xfId="0">
      <alignment horizontal="right" vertical="center"/>
    </xf>
    <xf numFmtId="0" fontId="7" fillId="21" borderId="2" applyAlignment="1" pivotButton="0" quotePrefix="0" xfId="0">
      <alignment horizontal="left" vertical="center"/>
    </xf>
    <xf numFmtId="164" fontId="8" fillId="21" borderId="2" applyAlignment="1" pivotButton="0" quotePrefix="0" xfId="0">
      <alignment horizontal="center" vertical="center" wrapText="1"/>
    </xf>
    <xf numFmtId="165" fontId="8" fillId="21" borderId="2" applyAlignment="1" pivotButton="0" quotePrefix="0" xfId="0">
      <alignment horizontal="right" vertical="center"/>
    </xf>
    <xf numFmtId="165" fontId="7" fillId="21" borderId="2" applyAlignment="1" pivotButton="0" quotePrefix="0" xfId="0">
      <alignment horizontal="right" vertical="center"/>
    </xf>
    <xf numFmtId="168" fontId="8" fillId="21" borderId="2" applyAlignment="1" pivotButton="0" quotePrefix="0" xfId="0">
      <alignment horizontal="right" vertical="center"/>
    </xf>
    <xf numFmtId="167" fontId="7" fillId="21" borderId="2" applyAlignment="1" pivotButton="0" quotePrefix="0" xfId="0">
      <alignment horizontal="center" vertical="center" wrapText="1"/>
    </xf>
    <xf numFmtId="0" fontId="9" fillId="22" borderId="3" applyAlignment="1" pivotButton="0" quotePrefix="0" xfId="0">
      <alignment horizontal="left" vertical="center"/>
    </xf>
    <xf numFmtId="0" fontId="9" fillId="22" borderId="3" applyAlignment="1" pivotButton="0" quotePrefix="0" xfId="0">
      <alignment horizontal="center" vertical="center" wrapText="1"/>
    </xf>
    <xf numFmtId="165" fontId="9" fillId="22" borderId="3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5"/>
  <sheetViews>
    <sheetView showGridLines="1" workbookViewId="0">
      <selection activeCell="A1" sqref="A1"/>
    </sheetView>
  </sheetViews>
  <sheetFormatPr baseColWidth="8" defaultRowHeight="15" outlineLevelCol="0"/>
  <cols>
    <col width="26" customWidth="1" min="1" max="1"/>
    <col width="18" customWidth="1" min="2" max="2"/>
    <col width="18" customWidth="1" min="3" max="3"/>
    <col width="12" customWidth="1" min="4" max="4"/>
    <col width="12" customWidth="1" min="5" max="5"/>
    <col width="16" customWidth="1" min="6" max="6"/>
    <col width="16" customWidth="1" min="7" max="7"/>
    <col width="16" customWidth="1" min="8" max="8"/>
    <col width="24" customWidth="1" min="9" max="9"/>
    <col width="22" customWidth="1" min="10" max="10"/>
    <col width="18" customWidth="1" min="11" max="11"/>
    <col width="16" customWidth="1" min="12" max="12"/>
    <col width="14" customWidth="1" min="13" max="13"/>
    <col width="18" customWidth="1" min="14" max="14"/>
    <col width="18" customWidth="1" min="15" max="15"/>
    <col width="18" customWidth="1" min="16" max="16"/>
    <col width="18" customWidth="1" min="17" max="17"/>
    <col width="14" customWidth="1" min="18" max="18"/>
  </cols>
  <sheetData>
    <row r="1" ht="32" customHeight="1">
      <c r="A1" s="1" t="inlineStr">
        <is>
          <t>SHIP24GO · MODELO LOGÍSTICO Y FINANCIERO (USA → REPÚBLICA DOMINICANA)</t>
        </is>
      </c>
    </row>
    <row r="2" ht="20" customHeight="1">
      <c r="A2" s="2" t="inlineStr">
        <is>
          <t>Comparación de Tarifas Reales API (DHL Directo) vs. Red de Consolidación Ship24GO (USA Hub → Miami → Santo Domingo → Domicilio)</t>
        </is>
      </c>
    </row>
    <row r="4" ht="16" customHeight="1">
      <c r="B4" s="3" t="inlineStr">
        <is>
          <t>TASA DE CAMBIO BASE</t>
        </is>
      </c>
      <c r="F4" s="3" t="inlineStr">
        <is>
          <t>TRAMO AÉREO MIAMI → RD</t>
        </is>
      </c>
      <c r="J4" s="3" t="inlineStr">
        <is>
          <t>ENTREGA A DOMICILIO RD</t>
        </is>
      </c>
      <c r="N4" s="3" t="inlineStr">
        <is>
          <t>AHORRO LOGÍSTICO SHIP24GO</t>
        </is>
      </c>
    </row>
    <row r="5" ht="24" customHeight="1">
      <c r="B5" s="4" t="inlineStr">
        <is>
          <t>RD$ 60.00 / USD</t>
        </is>
      </c>
      <c r="F5" s="4" t="inlineStr">
        <is>
          <t>RD$ 180.00 / lb ($3.00 USD)</t>
        </is>
      </c>
      <c r="J5" s="4" t="inlineStr">
        <is>
          <t>RD$ 220.00 mín. ($3.67 USD)</t>
        </is>
      </c>
      <c r="N5" s="5" t="inlineStr">
        <is>
          <t>33% hasta 71% vs. Courier</t>
        </is>
      </c>
    </row>
    <row r="7">
      <c r="A7" s="6" t="inlineStr">
        <is>
          <t>1. COMPARATIVA DETALLADA DE COSTOS: COURIER DIRECTO VS. CADENA SHIP24GO (5 MEDIDAS)</t>
        </is>
      </c>
    </row>
    <row r="8" ht="20" customHeight="1">
      <c r="A8" s="7" t="inlineStr">
        <is>
          <t>ESPECIFICACIONES DE EMPAQUE</t>
        </is>
      </c>
      <c r="F8" s="8" t="inlineStr">
        <is>
          <t>COURIER DIRECTO (DHL API)</t>
        </is>
      </c>
      <c r="H8" s="9" t="inlineStr">
        <is>
          <t>CADENA LOGÍSTICA SHIP24GO (POR ETAPAS)</t>
        </is>
      </c>
      <c r="L8" s="10" t="inlineStr">
        <is>
          <t>AHORRO CLIENTE</t>
        </is>
      </c>
      <c r="N8" s="11" t="inlineStr">
        <is>
          <t>ANÁLISIS COMERCIAL SHIP24GO (MOSTRADOR Y GANANCIA)</t>
        </is>
      </c>
    </row>
    <row r="9" ht="36" customHeight="1">
      <c r="A9" s="12" t="inlineStr">
        <is>
          <t>Tipo de Empaque</t>
        </is>
      </c>
      <c r="B9" s="12" t="inlineStr">
        <is>
          <t>Medidas (cm)
Largo×Ancho×Alto</t>
        </is>
      </c>
      <c r="C9" s="12" t="inlineStr">
        <is>
          <t>Medidas (pulg.)
L×A×A</t>
        </is>
      </c>
      <c r="D9" s="12" t="inlineStr">
        <is>
          <t>Peso Base
(kg)</t>
        </is>
      </c>
      <c r="E9" s="12" t="inlineStr">
        <is>
          <t>Peso Base
(lb)</t>
        </is>
      </c>
      <c r="F9" s="13" t="inlineStr">
        <is>
          <t>Tarifa Directa
(USD)</t>
        </is>
      </c>
      <c r="G9" s="13" t="inlineStr">
        <is>
          <t>Tarifa Directa
(DOP)</t>
        </is>
      </c>
      <c r="H9" s="14" t="inlineStr">
        <is>
          <t>Tramo 1 USA
Point→Miami</t>
        </is>
      </c>
      <c r="I9" s="14" t="inlineStr">
        <is>
          <t>Tramo 2 Aéreo
Miami→SDQ (RD$180/lb)</t>
        </is>
      </c>
      <c r="J9" s="14" t="inlineStr">
        <is>
          <t>Tramo 3 Domicilio
RD (Mín. RD$220)</t>
        </is>
      </c>
      <c r="K9" s="14" t="inlineStr">
        <is>
          <t>Costo Total
Ship24GO (USD)</t>
        </is>
      </c>
      <c r="L9" s="15" t="inlineStr">
        <is>
          <t>Ahorro Neto
(USD)</t>
        </is>
      </c>
      <c r="M9" s="15" t="inlineStr">
        <is>
          <t>% Ahorro
vs Courier</t>
        </is>
      </c>
      <c r="N9" s="16" t="inlineStr">
        <is>
          <t>Precio Venta
Mostrador (USD)</t>
        </is>
      </c>
      <c r="O9" s="16" t="inlineStr">
        <is>
          <t>Precio Venta
Mostrador (DOP)</t>
        </is>
      </c>
      <c r="P9" s="16" t="inlineStr">
        <is>
          <t>Costo Total
Ship24GO (DOP)</t>
        </is>
      </c>
      <c r="Q9" s="16" t="inlineStr">
        <is>
          <t>Ganancia Neta
por Envío (USD)</t>
        </is>
      </c>
      <c r="R9" s="16" t="inlineStr">
        <is>
          <t>% Margen
Comercial</t>
        </is>
      </c>
    </row>
    <row r="10" ht="24" customHeight="1">
      <c r="A10" s="17" t="inlineStr">
        <is>
          <t>Sobre / Documento</t>
        </is>
      </c>
      <c r="B10" s="18" t="inlineStr">
        <is>
          <t>33.5 × 24 × 1</t>
        </is>
      </c>
      <c r="C10" s="18" t="inlineStr">
        <is>
          <t>13.2 × 9.5 × 0.4</t>
        </is>
      </c>
      <c r="D10" s="19" t="n">
        <v>0.5</v>
      </c>
      <c r="E10" s="19" t="n">
        <v>1.1</v>
      </c>
      <c r="F10" s="20" t="n">
        <v>31.13</v>
      </c>
      <c r="G10" s="21">
        <f>F10*60</f>
        <v/>
      </c>
      <c r="H10" s="20" t="n">
        <v>1.99</v>
      </c>
      <c r="I10" s="20" t="n">
        <v>3.3</v>
      </c>
      <c r="J10" s="20" t="n">
        <v>3.67</v>
      </c>
      <c r="K10" s="22">
        <f>H10+I10+J10</f>
        <v/>
      </c>
      <c r="L10" s="23">
        <f>F10-K10</f>
        <v/>
      </c>
      <c r="M10" s="24">
        <f>L10/F10</f>
        <v/>
      </c>
      <c r="N10" s="22" t="n">
        <v>18</v>
      </c>
      <c r="O10" s="21">
        <f>N10*60</f>
        <v/>
      </c>
      <c r="P10" s="21">
        <f>K10*60</f>
        <v/>
      </c>
      <c r="Q10" s="23">
        <f>N10-K10</f>
        <v/>
      </c>
      <c r="R10" s="25">
        <f>Q10/N10</f>
        <v/>
      </c>
    </row>
    <row r="11" ht="24" customHeight="1">
      <c r="A11" s="26" t="inlineStr">
        <is>
          <t>Box S (Caja Pequeña)</t>
        </is>
      </c>
      <c r="B11" s="27" t="inlineStr">
        <is>
          <t>30 × 22 × 10</t>
        </is>
      </c>
      <c r="C11" s="27" t="inlineStr">
        <is>
          <t>11.8 × 8.7 × 3.9</t>
        </is>
      </c>
      <c r="D11" s="28" t="n">
        <v>2</v>
      </c>
      <c r="E11" s="28" t="n">
        <v>4.4</v>
      </c>
      <c r="F11" s="29" t="n">
        <v>58.37</v>
      </c>
      <c r="G11" s="30">
        <f>F11*60</f>
        <v/>
      </c>
      <c r="H11" s="29" t="n">
        <v>4.99</v>
      </c>
      <c r="I11" s="29" t="n">
        <v>13.2</v>
      </c>
      <c r="J11" s="29" t="n">
        <v>3.67</v>
      </c>
      <c r="K11" s="31">
        <f>H11+I11+J11</f>
        <v/>
      </c>
      <c r="L11" s="23">
        <f>F11-K11</f>
        <v/>
      </c>
      <c r="M11" s="32">
        <f>L11/F11</f>
        <v/>
      </c>
      <c r="N11" s="31" t="n">
        <v>35</v>
      </c>
      <c r="O11" s="30">
        <f>N11*60</f>
        <v/>
      </c>
      <c r="P11" s="30">
        <f>K11*60</f>
        <v/>
      </c>
      <c r="Q11" s="23">
        <f>N11-K11</f>
        <v/>
      </c>
      <c r="R11" s="33">
        <f>Q11/N11</f>
        <v/>
      </c>
    </row>
    <row r="12" ht="24" customHeight="1">
      <c r="A12" s="17" t="inlineStr">
        <is>
          <t>Box M (Caja Mediana)</t>
        </is>
      </c>
      <c r="B12" s="18" t="inlineStr">
        <is>
          <t>38 × 30 × 18</t>
        </is>
      </c>
      <c r="C12" s="18" t="inlineStr">
        <is>
          <t>15.0 × 11.8 × 7.1</t>
        </is>
      </c>
      <c r="D12" s="19" t="n">
        <v>5</v>
      </c>
      <c r="E12" s="19" t="n">
        <v>11</v>
      </c>
      <c r="F12" s="20" t="n">
        <v>76.62</v>
      </c>
      <c r="G12" s="21">
        <f>F12*60</f>
        <v/>
      </c>
      <c r="H12" s="20" t="n">
        <v>6.73</v>
      </c>
      <c r="I12" s="20" t="n">
        <v>33</v>
      </c>
      <c r="J12" s="20" t="n">
        <v>3.67</v>
      </c>
      <c r="K12" s="22">
        <f>H12+I12+J12</f>
        <v/>
      </c>
      <c r="L12" s="23">
        <f>F12-K12</f>
        <v/>
      </c>
      <c r="M12" s="24">
        <f>L12/F12</f>
        <v/>
      </c>
      <c r="N12" s="22" t="n">
        <v>60</v>
      </c>
      <c r="O12" s="21">
        <f>N12*60</f>
        <v/>
      </c>
      <c r="P12" s="21">
        <f>K12*60</f>
        <v/>
      </c>
      <c r="Q12" s="23">
        <f>N12-K12</f>
        <v/>
      </c>
      <c r="R12" s="25">
        <f>Q12/N12</f>
        <v/>
      </c>
    </row>
    <row r="13" ht="24" customHeight="1">
      <c r="A13" s="26" t="inlineStr">
        <is>
          <t>Box L (Caja Grande)</t>
        </is>
      </c>
      <c r="B13" s="27" t="inlineStr">
        <is>
          <t>48 × 38 × 25</t>
        </is>
      </c>
      <c r="C13" s="27" t="inlineStr">
        <is>
          <t>18.9 × 15.0 × 9.8</t>
        </is>
      </c>
      <c r="D13" s="28" t="n">
        <v>10</v>
      </c>
      <c r="E13" s="28" t="n">
        <v>22</v>
      </c>
      <c r="F13" s="29" t="n">
        <v>120.53</v>
      </c>
      <c r="G13" s="30">
        <f>F13*60</f>
        <v/>
      </c>
      <c r="H13" s="29" t="n">
        <v>9.85</v>
      </c>
      <c r="I13" s="29" t="n">
        <v>66</v>
      </c>
      <c r="J13" s="29" t="n">
        <v>4.5</v>
      </c>
      <c r="K13" s="31">
        <f>H13+I13+J13</f>
        <v/>
      </c>
      <c r="L13" s="23">
        <f>F13-K13</f>
        <v/>
      </c>
      <c r="M13" s="32">
        <f>L13/F13</f>
        <v/>
      </c>
      <c r="N13" s="31" t="n">
        <v>105</v>
      </c>
      <c r="O13" s="30">
        <f>N13*60</f>
        <v/>
      </c>
      <c r="P13" s="30">
        <f>K13*60</f>
        <v/>
      </c>
      <c r="Q13" s="23">
        <f>N13-K13</f>
        <v/>
      </c>
      <c r="R13" s="33">
        <f>Q13/N13</f>
        <v/>
      </c>
    </row>
    <row r="14" ht="24" customHeight="1">
      <c r="A14" s="17" t="inlineStr">
        <is>
          <t>Box XL (Extra Grande)</t>
        </is>
      </c>
      <c r="B14" s="18" t="inlineStr">
        <is>
          <t>55 × 45 × 35</t>
        </is>
      </c>
      <c r="C14" s="18" t="inlineStr">
        <is>
          <t>21.6 × 17.7 × 13.8</t>
        </is>
      </c>
      <c r="D14" s="19" t="n">
        <v>15</v>
      </c>
      <c r="E14" s="19" t="n">
        <v>33</v>
      </c>
      <c r="F14" s="20" t="n">
        <v>181.67</v>
      </c>
      <c r="G14" s="21">
        <f>F14*60</f>
        <v/>
      </c>
      <c r="H14" s="20" t="n">
        <v>13.5</v>
      </c>
      <c r="I14" s="20" t="n">
        <v>99</v>
      </c>
      <c r="J14" s="20" t="n">
        <v>5.5</v>
      </c>
      <c r="K14" s="22">
        <f>H14+I14+J14</f>
        <v/>
      </c>
      <c r="L14" s="23">
        <f>F14-K14</f>
        <v/>
      </c>
      <c r="M14" s="24">
        <f>L14/F14</f>
        <v/>
      </c>
      <c r="N14" s="22" t="n">
        <v>150</v>
      </c>
      <c r="O14" s="21">
        <f>N14*60</f>
        <v/>
      </c>
      <c r="P14" s="21">
        <f>K14*60</f>
        <v/>
      </c>
      <c r="Q14" s="23">
        <f>N14-K14</f>
        <v/>
      </c>
      <c r="R14" s="25">
        <f>Q14/N14</f>
        <v/>
      </c>
    </row>
    <row r="15" ht="24" customHeight="1">
      <c r="A15" s="34" t="inlineStr">
        <is>
          <t>PROMEDIO GENERAL</t>
        </is>
      </c>
      <c r="B15" s="35" t="inlineStr">
        <is>
          <t>-</t>
        </is>
      </c>
      <c r="C15" s="35" t="inlineStr">
        <is>
          <t>-</t>
        </is>
      </c>
      <c r="D15" s="35" t="inlineStr">
        <is>
          <t>-</t>
        </is>
      </c>
      <c r="E15" s="35" t="inlineStr">
        <is>
          <t>-</t>
        </is>
      </c>
      <c r="F15" s="36">
        <f>AVERAGE(F10:F14)</f>
        <v/>
      </c>
      <c r="G15" s="35" t="inlineStr">
        <is>
          <t>-</t>
        </is>
      </c>
      <c r="H15" s="36">
        <f>AVERAGE(H10:H14)</f>
        <v/>
      </c>
      <c r="I15" s="36">
        <f>AVERAGE(I10:I14)</f>
        <v/>
      </c>
      <c r="J15" s="36">
        <f>AVERAGE(J10:J14)</f>
        <v/>
      </c>
      <c r="K15" s="36">
        <f>AVERAGE(K10:K14)</f>
        <v/>
      </c>
      <c r="L15" s="36">
        <f>AVERAGE(L10:L14)</f>
        <v/>
      </c>
      <c r="M15" s="37">
        <f>AVERAGE(M10:M14)</f>
        <v/>
      </c>
      <c r="N15" s="36">
        <f>AVERAGE(N10:N14)</f>
        <v/>
      </c>
      <c r="O15" s="35" t="inlineStr">
        <is>
          <t>-</t>
        </is>
      </c>
      <c r="P15" s="35" t="inlineStr">
        <is>
          <t>-</t>
        </is>
      </c>
      <c r="Q15" s="36">
        <f>AVERAGE(Q10:Q14)</f>
        <v/>
      </c>
      <c r="R15" s="37">
        <f>AVERAGE(R10:R14)</f>
        <v/>
      </c>
    </row>
  </sheetData>
  <mergeCells count="15">
    <mergeCell ref="N8:R8"/>
    <mergeCell ref="J5:L5"/>
    <mergeCell ref="B5:D5"/>
    <mergeCell ref="F5:H5"/>
    <mergeCell ref="H8:K8"/>
    <mergeCell ref="A2:R2"/>
    <mergeCell ref="B4:D4"/>
    <mergeCell ref="N5:P5"/>
    <mergeCell ref="A8:E8"/>
    <mergeCell ref="F4:H4"/>
    <mergeCell ref="A1:R1"/>
    <mergeCell ref="J4:L4"/>
    <mergeCell ref="N4:P4"/>
    <mergeCell ref="L8:M8"/>
    <mergeCell ref="F8:G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0"/>
  <sheetViews>
    <sheetView showGridLines="1" workbookViewId="0">
      <selection activeCell="A1" sqref="A1"/>
    </sheetView>
  </sheetViews>
  <sheetFormatPr baseColWidth="8" defaultRowHeight="15" outlineLevelCol="0"/>
  <cols>
    <col width="26" customWidth="1" min="1" max="1"/>
    <col width="16" customWidth="1" min="2" max="2"/>
    <col width="18" customWidth="1" min="3" max="3"/>
    <col width="20" customWidth="1" min="4" max="4"/>
    <col width="22" customWidth="1" min="5" max="5"/>
    <col width="22" customWidth="1" min="6" max="6"/>
    <col width="22" customWidth="1" min="7" max="7"/>
    <col width="22" customWidth="1" min="8" max="8"/>
    <col width="20" customWidth="1" min="9" max="9"/>
    <col width="18" customWidth="1" min="10" max="10"/>
    <col width="18" customWidth="1" min="11" max="11"/>
    <col width="18" customWidth="1" min="12" max="12"/>
    <col width="18" customWidth="1" min="13" max="13"/>
    <col width="20" customWidth="1" min="14" max="14"/>
  </cols>
  <sheetData>
    <row r="1" ht="30" customHeight="1">
      <c r="A1" s="1" t="inlineStr">
        <is>
          <t>ANÁLISIS DE ESCALA: SUELTO (1 UD) vs. LOTE POINT (10 UDS) vs. MAYORISTA (50 UDS)</t>
        </is>
      </c>
    </row>
    <row r="2" ht="18" customHeight="1">
      <c r="A2" s="2" t="inlineStr">
        <is>
          <t>Demostración del poder de consolidación: Cómo el Hub pulveriza el costo del Tramo USA e incrementa la rentabilidad neta</t>
        </is>
      </c>
    </row>
    <row r="4" ht="36" customHeight="1">
      <c r="A4" s="12" t="inlineStr">
        <is>
          <t>Tipo de Empaque</t>
        </is>
      </c>
      <c r="B4" s="12" t="inlineStr">
        <is>
          <t>Peso Unitario (lb)</t>
        </is>
      </c>
      <c r="C4" s="38" t="inlineStr">
        <is>
          <t>Costo Suelto (1 ud)
Tramo USA API</t>
        </is>
      </c>
      <c r="D4" s="38" t="inlineStr">
        <is>
          <t>Costo Suelto (1 ud)
Total a Domicilio RD</t>
        </is>
      </c>
      <c r="E4" s="38" t="inlineStr">
        <is>
          <t>Costo Unit. en Lote 10
Tramo USA Consolidado</t>
        </is>
      </c>
      <c r="F4" s="38" t="inlineStr">
        <is>
          <t>Costo Unit. en Lote 10
Total a Domicilio RD</t>
        </is>
      </c>
      <c r="G4" s="38" t="inlineStr">
        <is>
          <t>Costo Unit. en Lote 50
Tramo USA Consolidado</t>
        </is>
      </c>
      <c r="H4" s="38" t="inlineStr">
        <is>
          <t>Costo Unit. en Lote 50
Total a Domicilio RD</t>
        </is>
      </c>
      <c r="I4" s="16" t="inlineStr">
        <is>
          <t>Precio Venta Mostrador
por Unidad (USD)</t>
        </is>
      </c>
      <c r="J4" s="16" t="inlineStr">
        <is>
          <t>Ganancia Total
1 Envío Suelto</t>
        </is>
      </c>
      <c r="K4" s="16" t="inlineStr">
        <is>
          <t>Ganancia Total Lote
10 Unidades</t>
        </is>
      </c>
      <c r="L4" s="16" t="inlineStr">
        <is>
          <t>Ganancia Total Lote
50 Unidades</t>
        </is>
      </c>
      <c r="M4" s="16" t="inlineStr">
        <is>
          <t>Ganancia Total Lote
100 Unidades</t>
        </is>
      </c>
      <c r="N4" s="16" t="inlineStr">
        <is>
          <t>% Retorno s/ Inversión
(ROI en Lote 50)</t>
        </is>
      </c>
    </row>
    <row r="5" ht="24" customHeight="1">
      <c r="A5" s="26" t="inlineStr">
        <is>
          <t>Sobre / Documento</t>
        </is>
      </c>
      <c r="B5" s="28" t="n">
        <v>1.1</v>
      </c>
      <c r="C5" s="29" t="n">
        <v>7.18</v>
      </c>
      <c r="D5" s="29" t="n">
        <v>14.15</v>
      </c>
      <c r="E5" s="29" t="n">
        <v>1.99</v>
      </c>
      <c r="F5" s="29" t="n">
        <v>8.960000000000001</v>
      </c>
      <c r="G5" s="29" t="n">
        <v>1.98</v>
      </c>
      <c r="H5" s="29" t="n">
        <v>8.949999999999999</v>
      </c>
      <c r="I5" s="29" t="n">
        <v>18</v>
      </c>
      <c r="J5" s="29">
        <f>I5-D5</f>
        <v/>
      </c>
      <c r="K5" s="23">
        <f>(I5-F5)*10</f>
        <v/>
      </c>
      <c r="L5" s="23">
        <f>(I5-H5)*50</f>
        <v/>
      </c>
      <c r="M5" s="23">
        <f>(I5-H5)*100</f>
        <v/>
      </c>
      <c r="N5" s="33">
        <f>L5/(H5*50)</f>
        <v/>
      </c>
    </row>
    <row r="6" ht="24" customHeight="1">
      <c r="A6" s="17" t="inlineStr">
        <is>
          <t>Box S (Caja Pequeña)</t>
        </is>
      </c>
      <c r="B6" s="19" t="n">
        <v>4.4</v>
      </c>
      <c r="C6" s="20" t="n">
        <v>8.07</v>
      </c>
      <c r="D6" s="20" t="n">
        <v>24.94</v>
      </c>
      <c r="E6" s="20" t="n">
        <v>4.99</v>
      </c>
      <c r="F6" s="20" t="n">
        <v>21.86</v>
      </c>
      <c r="G6" s="20" t="n">
        <v>3.95</v>
      </c>
      <c r="H6" s="20" t="n">
        <v>20.82</v>
      </c>
      <c r="I6" s="20" t="n">
        <v>35</v>
      </c>
      <c r="J6" s="20">
        <f>I6-D6</f>
        <v/>
      </c>
      <c r="K6" s="23">
        <f>(I6-F6)*10</f>
        <v/>
      </c>
      <c r="L6" s="23">
        <f>(I6-H6)*50</f>
        <v/>
      </c>
      <c r="M6" s="23">
        <f>(I6-H6)*100</f>
        <v/>
      </c>
      <c r="N6" s="25">
        <f>L6/(H6*50)</f>
        <v/>
      </c>
    </row>
    <row r="7" ht="24" customHeight="1">
      <c r="A7" s="26" t="inlineStr">
        <is>
          <t>Box M (Caja Mediana)</t>
        </is>
      </c>
      <c r="B7" s="28" t="n">
        <v>11</v>
      </c>
      <c r="C7" s="29" t="n">
        <v>15.09</v>
      </c>
      <c r="D7" s="29" t="n">
        <v>51.76</v>
      </c>
      <c r="E7" s="29" t="n">
        <v>6.73</v>
      </c>
      <c r="F7" s="29" t="n">
        <v>43.4</v>
      </c>
      <c r="G7" s="29" t="n">
        <v>5.8</v>
      </c>
      <c r="H7" s="29" t="n">
        <v>42.47</v>
      </c>
      <c r="I7" s="29" t="n">
        <v>60</v>
      </c>
      <c r="J7" s="29">
        <f>I7-D7</f>
        <v/>
      </c>
      <c r="K7" s="23">
        <f>(I7-F7)*10</f>
        <v/>
      </c>
      <c r="L7" s="23">
        <f>(I7-H7)*50</f>
        <v/>
      </c>
      <c r="M7" s="23">
        <f>(I7-H7)*100</f>
        <v/>
      </c>
      <c r="N7" s="33">
        <f>L7/(H7*50)</f>
        <v/>
      </c>
    </row>
    <row r="8" ht="24" customHeight="1">
      <c r="A8" s="17" t="inlineStr">
        <is>
          <t>Box L (Caja Grande)</t>
        </is>
      </c>
      <c r="B8" s="19" t="n">
        <v>22</v>
      </c>
      <c r="C8" s="20" t="n">
        <v>33.83</v>
      </c>
      <c r="D8" s="20" t="n">
        <v>104.33</v>
      </c>
      <c r="E8" s="20" t="n">
        <v>9.85</v>
      </c>
      <c r="F8" s="20" t="n">
        <v>80.34999999999999</v>
      </c>
      <c r="G8" s="20" t="n">
        <v>8.199999999999999</v>
      </c>
      <c r="H8" s="20" t="n">
        <v>78.7</v>
      </c>
      <c r="I8" s="20" t="n">
        <v>105</v>
      </c>
      <c r="J8" s="20">
        <f>I8-D8</f>
        <v/>
      </c>
      <c r="K8" s="23">
        <f>(I8-F8)*10</f>
        <v/>
      </c>
      <c r="L8" s="23">
        <f>(I8-H8)*50</f>
        <v/>
      </c>
      <c r="M8" s="23">
        <f>(I8-H8)*100</f>
        <v/>
      </c>
      <c r="N8" s="25">
        <f>L8/(H8*50)</f>
        <v/>
      </c>
    </row>
    <row r="9" ht="24" customHeight="1">
      <c r="A9" s="26" t="inlineStr">
        <is>
          <t>Box XL (Extra Grande)</t>
        </is>
      </c>
      <c r="B9" s="28" t="n">
        <v>33</v>
      </c>
      <c r="C9" s="29" t="n">
        <v>48</v>
      </c>
      <c r="D9" s="29" t="n">
        <v>152.5</v>
      </c>
      <c r="E9" s="29" t="n">
        <v>13.5</v>
      </c>
      <c r="F9" s="29" t="n">
        <v>118</v>
      </c>
      <c r="G9" s="29" t="n">
        <v>11</v>
      </c>
      <c r="H9" s="29" t="n">
        <v>115.5</v>
      </c>
      <c r="I9" s="29" t="n">
        <v>150</v>
      </c>
      <c r="J9" s="29">
        <f>I9-D9</f>
        <v/>
      </c>
      <c r="K9" s="23">
        <f>(I9-F9)*10</f>
        <v/>
      </c>
      <c r="L9" s="23">
        <f>(I9-H9)*50</f>
        <v/>
      </c>
      <c r="M9" s="23">
        <f>(I9-H9)*100</f>
        <v/>
      </c>
      <c r="N9" s="33">
        <f>L9/(H9*50)</f>
        <v/>
      </c>
    </row>
    <row r="10" ht="24" customHeight="1">
      <c r="A10" s="34" t="inlineStr">
        <is>
          <t>TOTAL POTENCIAL (MIX DE VENTAS)</t>
        </is>
      </c>
      <c r="B10" s="35" t="inlineStr">
        <is>
          <t>-</t>
        </is>
      </c>
      <c r="C10" s="35" t="inlineStr">
        <is>
          <t>-</t>
        </is>
      </c>
      <c r="D10" s="35" t="inlineStr">
        <is>
          <t>-</t>
        </is>
      </c>
      <c r="E10" s="35" t="inlineStr">
        <is>
          <t>-</t>
        </is>
      </c>
      <c r="F10" s="35" t="inlineStr">
        <is>
          <t>-</t>
        </is>
      </c>
      <c r="G10" s="35" t="inlineStr">
        <is>
          <t>-</t>
        </is>
      </c>
      <c r="H10" s="35" t="inlineStr">
        <is>
          <t>-</t>
        </is>
      </c>
      <c r="I10" s="35" t="inlineStr">
        <is>
          <t>-</t>
        </is>
      </c>
      <c r="J10" s="36">
        <f>SUM(J5:J9)</f>
        <v/>
      </c>
      <c r="K10" s="36">
        <f>SUM(K5:K9)</f>
        <v/>
      </c>
      <c r="L10" s="36">
        <f>SUM(L5:L9)</f>
        <v/>
      </c>
      <c r="M10" s="36">
        <f>SUM(M5:M9)</f>
        <v/>
      </c>
      <c r="N10" s="35" t="inlineStr">
        <is>
          <t>-</t>
        </is>
      </c>
    </row>
  </sheetData>
  <mergeCells count="2">
    <mergeCell ref="A2:N2"/>
    <mergeCell ref="A1:N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2"/>
  <sheetViews>
    <sheetView showGridLines="1" workbookViewId="0">
      <selection activeCell="A1" sqref="A1"/>
    </sheetView>
  </sheetViews>
  <sheetFormatPr baseColWidth="8" defaultRowHeight="15" outlineLevelCol="0"/>
  <cols>
    <col width="38" customWidth="1" min="1" max="1"/>
    <col width="24" customWidth="1" min="2" max="2"/>
    <col width="14" customWidth="1" min="3" max="3"/>
    <col width="45" customWidth="1" min="4" max="4"/>
  </cols>
  <sheetData>
    <row r="1" ht="30" customHeight="1">
      <c r="A1" s="1" t="inlineStr">
        <is>
          <t>SIMULADOR DINÁMICO DE COSTOS Y PRECIOS · SHIP24GO</t>
        </is>
      </c>
    </row>
    <row r="2" ht="18" customHeight="1">
      <c r="A2" s="2" t="inlineStr">
        <is>
          <t>Modifica los parámetros en amarillo para simular cualquier cambio de tarifa o peso</t>
        </is>
      </c>
    </row>
    <row r="4" ht="20" customHeight="1">
      <c r="A4" s="39" t="inlineStr">
        <is>
          <t>Tasa de Cambio (RD$ por 1 USD):</t>
        </is>
      </c>
      <c r="B4" s="40" t="n">
        <v>60</v>
      </c>
    </row>
    <row r="5" ht="20" customHeight="1">
      <c r="A5" s="39" t="inlineStr">
        <is>
          <t>Tarifa Aérea Miami → RD (por libra en DOP):</t>
        </is>
      </c>
      <c r="B5" s="40" t="n">
        <v>180</v>
      </c>
    </row>
    <row r="6" ht="20" customHeight="1">
      <c r="A6" s="39" t="inlineStr">
        <is>
          <t>Tarifa Aérea Miami → RD (por libra en USD):</t>
        </is>
      </c>
      <c r="B6" s="41">
        <f>B5/B4</f>
        <v/>
      </c>
    </row>
    <row r="7" ht="20" customHeight="1">
      <c r="A7" s="39" t="inlineStr">
        <is>
          <t>Entrega Domicilio RD (Base fija en DOP):</t>
        </is>
      </c>
      <c r="B7" s="40" t="n">
        <v>220</v>
      </c>
    </row>
    <row r="8" ht="20" customHeight="1">
      <c r="A8" s="39" t="inlineStr">
        <is>
          <t>Entrega Domicilio RD (Base fija en USD):</t>
        </is>
      </c>
      <c r="B8" s="41">
        <f>B7/B4</f>
        <v/>
      </c>
    </row>
    <row r="10">
      <c r="A10" s="6" t="inlineStr">
        <is>
          <t>CALCULADORA DE ENVÍO INDIVIDUAL O CONSOLIDADO</t>
        </is>
      </c>
    </row>
    <row r="11" ht="26" customHeight="1">
      <c r="A11" s="38" t="inlineStr">
        <is>
          <t>Concepto / Variable</t>
        </is>
      </c>
      <c r="B11" s="38" t="inlineStr">
        <is>
          <t>Valor Ingresado / Fórmula</t>
        </is>
      </c>
      <c r="C11" s="38" t="inlineStr">
        <is>
          <t>Unidad</t>
        </is>
      </c>
      <c r="D11" s="38" t="inlineStr">
        <is>
          <t>Explicación / Regla de Negocio</t>
        </is>
      </c>
    </row>
    <row r="12" ht="22" customHeight="1">
      <c r="A12" s="42" t="inlineStr">
        <is>
          <t>Peso del Paquete</t>
        </is>
      </c>
      <c r="B12" s="43" t="n">
        <v>4.4</v>
      </c>
      <c r="C12" s="27" t="inlineStr">
        <is>
          <t>Libras</t>
        </is>
      </c>
      <c r="D12" s="42" t="inlineStr">
        <is>
          <t>Peso registrado en báscula del Point</t>
        </is>
      </c>
    </row>
    <row r="13" ht="22" customHeight="1">
      <c r="A13" s="42" t="inlineStr">
        <is>
          <t>Costo Tramo 1 (Point → Miami Hub)</t>
        </is>
      </c>
      <c r="B13" s="44" t="n">
        <v>4.99</v>
      </c>
      <c r="C13" s="27" t="inlineStr">
        <is>
          <t>USD</t>
        </is>
      </c>
      <c r="D13" s="42" t="inlineStr">
        <is>
          <t>Flete proporcional consolidado vía UPS Ground</t>
        </is>
      </c>
    </row>
    <row r="14" ht="22" customHeight="1">
      <c r="A14" s="42" t="inlineStr">
        <is>
          <t>Costo Tramo 2 (Miami → Hub SDQ)</t>
        </is>
      </c>
      <c r="B14" s="41">
        <f>B12*$B$6</f>
        <v/>
      </c>
      <c r="C14" s="27" t="inlineStr">
        <is>
          <t>USD</t>
        </is>
      </c>
      <c r="D14" s="42" t="inlineStr">
        <is>
          <t>Libras × Tarifa Aérea por Libra ($3.00 USD)</t>
        </is>
      </c>
    </row>
    <row r="15" ht="22" customHeight="1">
      <c r="A15" s="42" t="inlineStr">
        <is>
          <t>Costo Tramo 3 (Entrega Domicilio RD)</t>
        </is>
      </c>
      <c r="B15" s="41">
        <f>$B$8</f>
        <v/>
      </c>
      <c r="C15" s="27" t="inlineStr">
        <is>
          <t>USD</t>
        </is>
      </c>
      <c r="D15" s="42" t="inlineStr">
        <is>
          <t>Tarifa mínima base de entrega local (RD$ 220)</t>
        </is>
      </c>
    </row>
    <row r="16" ht="22" customHeight="1">
      <c r="A16" s="39" t="inlineStr">
        <is>
          <t>COSTO TOTAL SHIP24GO (USD)</t>
        </is>
      </c>
      <c r="B16" s="41">
        <f>B13+B14+B15</f>
        <v/>
      </c>
      <c r="C16" s="27" t="inlineStr">
        <is>
          <t>USD</t>
        </is>
      </c>
      <c r="D16" s="42" t="inlineStr">
        <is>
          <t>Suma de los 3 tramos logísticos</t>
        </is>
      </c>
    </row>
    <row r="17" ht="22" customHeight="1">
      <c r="A17" s="39" t="inlineStr">
        <is>
          <t>COSTO TOTAL SHIP24GO (DOP)</t>
        </is>
      </c>
      <c r="B17" s="45">
        <f>B16*$B$4</f>
        <v/>
      </c>
      <c r="C17" s="27" t="inlineStr">
        <is>
          <t>DOP</t>
        </is>
      </c>
      <c r="D17" s="42" t="inlineStr">
        <is>
          <t>Costo total expresado en moneda dominicana</t>
        </is>
      </c>
    </row>
    <row r="18" ht="22" customHeight="1">
      <c r="A18" s="42" t="inlineStr">
        <is>
          <t>Tarifa Sugerida Venta Mostrador (USD)</t>
        </is>
      </c>
      <c r="B18" s="44" t="n">
        <v>35</v>
      </c>
      <c r="C18" s="27" t="inlineStr">
        <is>
          <t>USD</t>
        </is>
      </c>
      <c r="D18" s="42" t="inlineStr">
        <is>
          <t>Precio cobrado al cliente emisor en el Point</t>
        </is>
      </c>
    </row>
    <row r="19" ht="22" customHeight="1">
      <c r="A19" s="42" t="inlineStr">
        <is>
          <t>Tarifa Sugerida Venta Mostrador (DOP)</t>
        </is>
      </c>
      <c r="B19" s="45">
        <f>B18*$B$4</f>
        <v/>
      </c>
      <c r="C19" s="27" t="inlineStr">
        <is>
          <t>DOP</t>
        </is>
      </c>
      <c r="D19" s="42" t="inlineStr">
        <is>
          <t>Precio al cliente en moneda local</t>
        </is>
      </c>
    </row>
    <row r="20" ht="22" customHeight="1">
      <c r="A20" s="46" t="inlineStr">
        <is>
          <t>GANANCIA NETA POR PAQUETE (USD)</t>
        </is>
      </c>
      <c r="B20" s="23">
        <f>B18-B16</f>
        <v/>
      </c>
      <c r="C20" s="27" t="inlineStr">
        <is>
          <t>USD</t>
        </is>
      </c>
      <c r="D20" s="42" t="inlineStr">
        <is>
          <t>Margen neto después de pagar toda la logística</t>
        </is>
      </c>
    </row>
    <row r="21" ht="22" customHeight="1">
      <c r="A21" s="46" t="inlineStr">
        <is>
          <t>GANANCIA NETA POR PAQUETE (DOP)</t>
        </is>
      </c>
      <c r="B21" s="47">
        <f>B20*$B$4</f>
        <v/>
      </c>
      <c r="C21" s="27" t="inlineStr">
        <is>
          <t>DOP</t>
        </is>
      </c>
      <c r="D21" s="42" t="inlineStr">
        <is>
          <t>Ganancia neta en pesos dominicanos</t>
        </is>
      </c>
    </row>
    <row r="22" ht="22" customHeight="1">
      <c r="A22" s="26" t="inlineStr">
        <is>
          <t>MARGEN COMERCIAL BRUTO</t>
        </is>
      </c>
      <c r="B22" s="48">
        <f>B20/B18</f>
        <v/>
      </c>
      <c r="C22" s="27" t="inlineStr">
        <is>
          <t>%</t>
        </is>
      </c>
      <c r="D22" s="42" t="inlineStr">
        <is>
          <t>Rentabilidad porcentual sobre precio de venta</t>
        </is>
      </c>
    </row>
  </sheetData>
  <mergeCells count="2">
    <mergeCell ref="A2:G2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0"/>
  <sheetViews>
    <sheetView showGridLines="1" workbookViewId="0">
      <selection activeCell="A1" sqref="A1"/>
    </sheetView>
  </sheetViews>
  <sheetFormatPr baseColWidth="8" defaultRowHeight="15" outlineLevelCol="0"/>
  <cols>
    <col width="26" customWidth="1" min="1" max="1"/>
    <col width="14" customWidth="1" min="2" max="2"/>
    <col width="18" customWidth="1" min="3" max="3"/>
    <col width="18" customWidth="1" min="4" max="4"/>
    <col width="18" customWidth="1" min="5" max="5"/>
    <col width="18" customWidth="1" min="6" max="6"/>
    <col width="16" customWidth="1" min="7" max="7"/>
    <col width="16" customWidth="1" min="8" max="8"/>
    <col width="18" customWidth="1" min="9" max="9"/>
    <col width="14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</cols>
  <sheetData>
    <row r="1" ht="30" customHeight="1">
      <c r="A1" s="49" t="inlineStr">
        <is>
          <t>ESTRATEGIA DE PRECIOS, COMPETENCIA Y COMISIÓN AL POINT · SHIP24GO</t>
        </is>
      </c>
    </row>
    <row r="2" ht="18" customHeight="1">
      <c r="A2" s="50" t="inlineStr">
        <is>
          <t>¿A cuánto vender? ¿Cuánto más baratos somos vs. DHL/UPS? ¿Cuánto gana el Point y cuánto gana Ship24GO?</t>
        </is>
      </c>
    </row>
    <row r="4" ht="36" customHeight="1">
      <c r="A4" s="51" t="inlineStr">
        <is>
          <t>Tipo de Empaque</t>
        </is>
      </c>
      <c r="B4" s="51" t="inlineStr">
        <is>
          <t>Peso Real
(lb)</t>
        </is>
      </c>
      <c r="C4" s="51" t="inlineStr">
        <is>
          <t>Costo Logístico
Consolidado (USD)</t>
        </is>
      </c>
      <c r="D4" s="52" t="inlineStr">
        <is>
          <t>Precio Venta
Sucursal RD (USD)</t>
        </is>
      </c>
      <c r="E4" s="52" t="inlineStr">
        <is>
          <t>Precio Venta
Domicilio RD (USD)</t>
        </is>
      </c>
      <c r="F4" s="52" t="inlineStr">
        <is>
          <t>Precio Venta
Domicilio (DOP)</t>
        </is>
      </c>
      <c r="G4" s="53" t="inlineStr">
        <is>
          <t>Tarifa DHL
Directo (USD)</t>
        </is>
      </c>
      <c r="H4" s="53" t="inlineStr">
        <is>
          <t>Tarifa UPS
Directo (USD)</t>
        </is>
      </c>
      <c r="I4" s="54" t="inlineStr">
        <is>
          <t>Ahorro Cliente
vs. DHL ($)</t>
        </is>
      </c>
      <c r="J4" s="54" t="inlineStr">
        <is>
          <t>% Más Barato
vs. DHL</t>
        </is>
      </c>
      <c r="K4" s="52" t="inlineStr">
        <is>
          <t>Comisión Point
x Envío (USD)</t>
        </is>
      </c>
      <c r="L4" s="52" t="inlineStr">
        <is>
          <t>Comisión Point
x Envío (DOP)</t>
        </is>
      </c>
      <c r="M4" s="54" t="inlineStr">
        <is>
          <t>Ganancia Neta
Ship24GO (USD)</t>
        </is>
      </c>
      <c r="N4" s="54" t="inlineStr">
        <is>
          <t>Ganancia Neta
Ship24GO (DOP)</t>
        </is>
      </c>
      <c r="O4" s="52" t="inlineStr">
        <is>
          <t>Ganancia Point
en Lote de 10</t>
        </is>
      </c>
    </row>
    <row r="5" ht="24" customHeight="1">
      <c r="A5" s="55" t="inlineStr">
        <is>
          <t>Sobre / Documento</t>
        </is>
      </c>
      <c r="B5" s="56" t="n">
        <v>1.1</v>
      </c>
      <c r="C5" s="57" t="n">
        <v>8.960000000000001</v>
      </c>
      <c r="D5" s="57" t="n">
        <v>15</v>
      </c>
      <c r="E5" s="58" t="n">
        <v>18</v>
      </c>
      <c r="F5" s="59">
        <f>E5*60</f>
        <v/>
      </c>
      <c r="G5" s="57" t="n">
        <v>31.13</v>
      </c>
      <c r="H5" s="57" t="n">
        <v>48.72</v>
      </c>
      <c r="I5" s="60">
        <f>G5-E5</f>
        <v/>
      </c>
      <c r="J5" s="61">
        <f>I5/G5</f>
        <v/>
      </c>
      <c r="K5" s="62" t="n">
        <v>3.5</v>
      </c>
      <c r="L5" s="59">
        <f>K5*60</f>
        <v/>
      </c>
      <c r="M5" s="60">
        <f>E5-C5-K5</f>
        <v/>
      </c>
      <c r="N5" s="59">
        <f>M5*60</f>
        <v/>
      </c>
      <c r="O5" s="62">
        <f>K5*10</f>
        <v/>
      </c>
    </row>
    <row r="6" ht="24" customHeight="1">
      <c r="A6" s="63" t="inlineStr">
        <is>
          <t>Box S (Caja Pequeña)</t>
        </is>
      </c>
      <c r="B6" s="64" t="n">
        <v>4.4</v>
      </c>
      <c r="C6" s="65" t="n">
        <v>21.86</v>
      </c>
      <c r="D6" s="65" t="n">
        <v>30</v>
      </c>
      <c r="E6" s="66" t="n">
        <v>35</v>
      </c>
      <c r="F6" s="67">
        <f>E6*60</f>
        <v/>
      </c>
      <c r="G6" s="65" t="n">
        <v>58.37</v>
      </c>
      <c r="H6" s="65" t="n">
        <v>61.41</v>
      </c>
      <c r="I6" s="60">
        <f>G6-E6</f>
        <v/>
      </c>
      <c r="J6" s="68">
        <f>I6/G6</f>
        <v/>
      </c>
      <c r="K6" s="62" t="n">
        <v>5</v>
      </c>
      <c r="L6" s="67">
        <f>K6*60</f>
        <v/>
      </c>
      <c r="M6" s="60">
        <f>E6-C6-K6</f>
        <v/>
      </c>
      <c r="N6" s="67">
        <f>M6*60</f>
        <v/>
      </c>
      <c r="O6" s="62">
        <f>K6*10</f>
        <v/>
      </c>
    </row>
    <row r="7" ht="24" customHeight="1">
      <c r="A7" s="55" t="inlineStr">
        <is>
          <t>Box M (Caja Mediana)</t>
        </is>
      </c>
      <c r="B7" s="56" t="n">
        <v>11</v>
      </c>
      <c r="C7" s="57" t="n">
        <v>43.4</v>
      </c>
      <c r="D7" s="57" t="n">
        <v>55</v>
      </c>
      <c r="E7" s="58" t="n">
        <v>60</v>
      </c>
      <c r="F7" s="59">
        <f>E7*60</f>
        <v/>
      </c>
      <c r="G7" s="57" t="n">
        <v>76.62</v>
      </c>
      <c r="H7" s="57" t="n">
        <v>85.77</v>
      </c>
      <c r="I7" s="60">
        <f>G7-E7</f>
        <v/>
      </c>
      <c r="J7" s="61">
        <f>I7/G7</f>
        <v/>
      </c>
      <c r="K7" s="62" t="n">
        <v>7</v>
      </c>
      <c r="L7" s="59">
        <f>K7*60</f>
        <v/>
      </c>
      <c r="M7" s="60">
        <f>E7-C7-K7</f>
        <v/>
      </c>
      <c r="N7" s="59">
        <f>M7*60</f>
        <v/>
      </c>
      <c r="O7" s="62">
        <f>K7*10</f>
        <v/>
      </c>
    </row>
    <row r="8" ht="24" customHeight="1">
      <c r="A8" s="63" t="inlineStr">
        <is>
          <t>Box L (Caja Grande)</t>
        </is>
      </c>
      <c r="B8" s="64" t="n">
        <v>22</v>
      </c>
      <c r="C8" s="65" t="n">
        <v>80.34999999999999</v>
      </c>
      <c r="D8" s="65" t="n">
        <v>95</v>
      </c>
      <c r="E8" s="66" t="n">
        <v>105</v>
      </c>
      <c r="F8" s="67">
        <f>E8*60</f>
        <v/>
      </c>
      <c r="G8" s="65" t="n">
        <v>120.53</v>
      </c>
      <c r="H8" s="65" t="n">
        <v>135.38</v>
      </c>
      <c r="I8" s="60">
        <f>G8-E8</f>
        <v/>
      </c>
      <c r="J8" s="68">
        <f>I8/G8</f>
        <v/>
      </c>
      <c r="K8" s="62" t="n">
        <v>10</v>
      </c>
      <c r="L8" s="67">
        <f>K8*60</f>
        <v/>
      </c>
      <c r="M8" s="60">
        <f>E8-C8-K8</f>
        <v/>
      </c>
      <c r="N8" s="67">
        <f>M8*60</f>
        <v/>
      </c>
      <c r="O8" s="62">
        <f>K8*10</f>
        <v/>
      </c>
    </row>
    <row r="9" ht="24" customHeight="1">
      <c r="A9" s="55" t="inlineStr">
        <is>
          <t>Box XL (Extra Grande)</t>
        </is>
      </c>
      <c r="B9" s="56" t="n">
        <v>33</v>
      </c>
      <c r="C9" s="57" t="n">
        <v>118</v>
      </c>
      <c r="D9" s="57" t="n">
        <v>140</v>
      </c>
      <c r="E9" s="58" t="n">
        <v>150</v>
      </c>
      <c r="F9" s="59">
        <f>E9*60</f>
        <v/>
      </c>
      <c r="G9" s="57" t="n">
        <v>181.67</v>
      </c>
      <c r="H9" s="57" t="n">
        <v>189.55</v>
      </c>
      <c r="I9" s="60">
        <f>G9-E9</f>
        <v/>
      </c>
      <c r="J9" s="61">
        <f>I9/G9</f>
        <v/>
      </c>
      <c r="K9" s="62" t="n">
        <v>12</v>
      </c>
      <c r="L9" s="59">
        <f>K9*60</f>
        <v/>
      </c>
      <c r="M9" s="60">
        <f>E9-C9-K9</f>
        <v/>
      </c>
      <c r="N9" s="59">
        <f>M9*60</f>
        <v/>
      </c>
      <c r="O9" s="62">
        <f>K9*10</f>
        <v/>
      </c>
    </row>
    <row r="10" ht="24" customHeight="1">
      <c r="A10" s="69" t="inlineStr">
        <is>
          <t>TOTAL LOTE MIXTO (1 DE CADA MEDIDA)</t>
        </is>
      </c>
      <c r="B10" s="70" t="inlineStr">
        <is>
          <t>-</t>
        </is>
      </c>
      <c r="C10" s="71">
        <f>SUM(C5:C9)</f>
        <v/>
      </c>
      <c r="D10" s="71">
        <f>SUM(D5:D9)</f>
        <v/>
      </c>
      <c r="E10" s="71">
        <f>SUM(E5:E9)</f>
        <v/>
      </c>
      <c r="F10" s="70" t="inlineStr">
        <is>
          <t>-</t>
        </is>
      </c>
      <c r="G10" s="70" t="inlineStr">
        <is>
          <t>-</t>
        </is>
      </c>
      <c r="H10" s="70" t="inlineStr">
        <is>
          <t>-</t>
        </is>
      </c>
      <c r="I10" s="71">
        <f>SUM(I5:I9)</f>
        <v/>
      </c>
      <c r="J10" s="70" t="inlineStr">
        <is>
          <t>-</t>
        </is>
      </c>
      <c r="K10" s="71">
        <f>SUM(K5:K9)</f>
        <v/>
      </c>
      <c r="L10" s="70" t="inlineStr">
        <is>
          <t>-</t>
        </is>
      </c>
      <c r="M10" s="71">
        <f>SUM(M5:M9)</f>
        <v/>
      </c>
      <c r="N10" s="70" t="inlineStr">
        <is>
          <t>-</t>
        </is>
      </c>
      <c r="O10" s="71">
        <f>SUM(O5:O9)</f>
        <v/>
      </c>
    </row>
  </sheetData>
  <mergeCells count="2">
    <mergeCell ref="A1:O1"/>
    <mergeCell ref="A2:O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2026-09-15T23:01:20Z</dcterms:created>
  <dcterms:modified xmlns:dcterms="http://purl.org/dc/terms/" xmlns:xsi="http://www.w3.org/2001/XMLSchema-instance" xsi:type="dcterms:W3CDTF">2026-09-15T23:12:11Z</dcterms:modified>
</cp:coreProperties>
</file>